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adh\Documents\L1usthb\finle project\"/>
    </mc:Choice>
  </mc:AlternateContent>
  <bookViews>
    <workbookView xWindow="0" yWindow="0" windowWidth="9420" windowHeight="5680" activeTab="6"/>
  </bookViews>
  <sheets>
    <sheet name="Table" sheetId="2" r:id="rId1"/>
    <sheet name="Table 1" sheetId="8" r:id="rId2"/>
    <sheet name="Table 2" sheetId="10" r:id="rId3"/>
    <sheet name="Table 3" sheetId="11" r:id="rId4"/>
    <sheet name="EXO 3" sheetId="6" r:id="rId5"/>
    <sheet name="EXO 4" sheetId="7" r:id="rId6"/>
    <sheet name="Sheet1" sheetId="1" r:id="rId7"/>
  </sheets>
  <calcPr calcId="15251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7" l="1"/>
  <c r="E5" i="7"/>
  <c r="E6" i="7"/>
  <c r="E7" i="7"/>
  <c r="E8" i="7"/>
  <c r="E9" i="7"/>
  <c r="E10" i="7"/>
  <c r="E11" i="7"/>
  <c r="E12" i="7"/>
  <c r="E13" i="7"/>
  <c r="G4" i="6"/>
  <c r="H4" i="6" s="1"/>
  <c r="G5" i="6"/>
  <c r="H5" i="6" s="1"/>
  <c r="I5" i="6" s="1"/>
  <c r="J5" i="6" s="1"/>
  <c r="G6" i="6"/>
  <c r="H6" i="6" s="1"/>
  <c r="G7" i="6"/>
  <c r="H7" i="6"/>
  <c r="I7" i="6" s="1"/>
  <c r="J7" i="6" s="1"/>
  <c r="G8" i="6"/>
  <c r="H8" i="6" s="1"/>
  <c r="G9" i="6"/>
  <c r="H9" i="6"/>
  <c r="I9" i="6" s="1"/>
  <c r="J9" i="6" s="1"/>
  <c r="G10" i="6"/>
  <c r="H10" i="6" s="1"/>
  <c r="G11" i="6"/>
  <c r="H11" i="6" s="1"/>
  <c r="I11" i="6" s="1"/>
  <c r="J11" i="6" s="1"/>
  <c r="G12" i="6"/>
  <c r="H12" i="6" s="1"/>
  <c r="G13" i="6"/>
  <c r="H13" i="6"/>
  <c r="I13" i="6" s="1"/>
  <c r="J13" i="6" s="1"/>
  <c r="G14" i="6"/>
  <c r="H14" i="6" s="1"/>
  <c r="G15" i="6"/>
  <c r="H15" i="6"/>
  <c r="I15" i="6" s="1"/>
  <c r="J15" i="6" s="1"/>
  <c r="G16" i="6"/>
  <c r="H16" i="6" s="1"/>
  <c r="G17" i="6"/>
  <c r="H17" i="6"/>
  <c r="I17" i="6" s="1"/>
  <c r="J17" i="6" s="1"/>
  <c r="J10" i="6" l="1"/>
  <c r="J12" i="6"/>
  <c r="J8" i="6"/>
  <c r="J6" i="6"/>
  <c r="I16" i="6"/>
  <c r="J16" i="6" s="1"/>
  <c r="I14" i="6"/>
  <c r="J14" i="6" s="1"/>
  <c r="I12" i="6"/>
  <c r="I10" i="6"/>
  <c r="I8" i="6"/>
  <c r="I6" i="6"/>
  <c r="I4" i="6"/>
  <c r="J4" i="6" s="1"/>
  <c r="J19" i="6" s="1"/>
  <c r="J21" i="6" l="1"/>
  <c r="J22" i="6" s="1"/>
</calcChain>
</file>

<file path=xl/sharedStrings.xml><?xml version="1.0" encoding="utf-8"?>
<sst xmlns="http://schemas.openxmlformats.org/spreadsheetml/2006/main" count="143" uniqueCount="42">
  <si>
    <t>Yale</t>
  </si>
  <si>
    <t>Economics</t>
  </si>
  <si>
    <t>Brown</t>
  </si>
  <si>
    <t>Psychology</t>
  </si>
  <si>
    <t>Cornell</t>
  </si>
  <si>
    <t>Mathematics</t>
  </si>
  <si>
    <t>Harvard</t>
  </si>
  <si>
    <t>Penn State</t>
  </si>
  <si>
    <t>Arts</t>
  </si>
  <si>
    <t>Physics</t>
  </si>
  <si>
    <t>Princeton</t>
  </si>
  <si>
    <t>Columbia</t>
  </si>
  <si>
    <t>Dartmouth</t>
  </si>
  <si>
    <t>University</t>
  </si>
  <si>
    <t>Faculty</t>
  </si>
  <si>
    <r>
      <rPr>
        <b/>
        <sz val="11"/>
        <color rgb="FFFFFFFF"/>
        <rFont val="Calibri"/>
        <family val="1"/>
      </rPr>
      <t>Students</t>
    </r>
  </si>
  <si>
    <t>Grand Total</t>
  </si>
  <si>
    <t>Sum of Students</t>
  </si>
  <si>
    <t>Row Labels</t>
  </si>
  <si>
    <t>Average of Students2</t>
  </si>
  <si>
    <t>Column Labels</t>
  </si>
  <si>
    <t>TTC:</t>
  </si>
  <si>
    <t>Val TVA:</t>
  </si>
  <si>
    <t>TVA:</t>
  </si>
  <si>
    <t>Total facture:</t>
  </si>
  <si>
    <r>
      <rPr>
        <b/>
        <sz val="11"/>
        <rFont val="Palatino Linotype"/>
        <family val="1"/>
      </rPr>
      <t>Total a payer</t>
    </r>
  </si>
  <si>
    <r>
      <rPr>
        <b/>
        <sz val="11"/>
        <rFont val="Palatino Linotype"/>
        <family val="1"/>
      </rPr>
      <t>Val Remise</t>
    </r>
  </si>
  <si>
    <t>Remise</t>
  </si>
  <si>
    <r>
      <rPr>
        <b/>
        <sz val="11"/>
        <rFont val="Palatino Linotype"/>
        <family val="1"/>
      </rPr>
      <t>PT</t>
    </r>
  </si>
  <si>
    <r>
      <rPr>
        <b/>
        <sz val="11"/>
        <rFont val="Palatino Linotype"/>
        <family val="1"/>
      </rPr>
      <t>QTE</t>
    </r>
  </si>
  <si>
    <r>
      <rPr>
        <b/>
        <sz val="11"/>
        <rFont val="Palatino Linotype"/>
        <family val="1"/>
      </rPr>
      <t>PU</t>
    </r>
  </si>
  <si>
    <r>
      <rPr>
        <b/>
        <sz val="11"/>
        <rFont val="Palatino Linotype"/>
        <family val="1"/>
      </rPr>
      <t>ID</t>
    </r>
  </si>
  <si>
    <r>
      <rPr>
        <b/>
        <sz val="12"/>
        <rFont val="Palatino Linotype"/>
        <family val="1"/>
      </rPr>
      <t>Speed (m/s)</t>
    </r>
  </si>
  <si>
    <r>
      <rPr>
        <b/>
        <sz val="12"/>
        <rFont val="Palatino Linotype"/>
        <family val="1"/>
      </rPr>
      <t>Distance (m)</t>
    </r>
  </si>
  <si>
    <r>
      <rPr>
        <b/>
        <sz val="12"/>
        <rFont val="Palatino Linotype"/>
        <family val="1"/>
      </rPr>
      <t>Time(s)</t>
    </r>
  </si>
  <si>
    <t>z</t>
  </si>
  <si>
    <t>Ivy League Applicants</t>
  </si>
  <si>
    <t>Group ID5</t>
  </si>
  <si>
    <t>BOUALEM Yacine</t>
  </si>
  <si>
    <t>BOUSBAINE Abdelaziz</t>
  </si>
  <si>
    <t>DJOUDI Idris</t>
  </si>
  <si>
    <t>BENSAID Marouane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</si>
</sst>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DZD]\ * #,##0.00_);_([$DZD]\ * \(#,##0.00\);_([$DZD]\ 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1"/>
    </font>
    <font>
      <b/>
      <sz val="11"/>
      <name val="Calibri"/>
      <family val="2"/>
    </font>
    <font>
      <b/>
      <sz val="20"/>
      <name val="Calibri"/>
      <family val="2"/>
    </font>
    <font>
      <b/>
      <sz val="20"/>
      <color rgb="FFFFFFFF"/>
      <name val="Calibri"/>
      <family val="1"/>
    </font>
    <font>
      <b/>
      <sz val="14"/>
      <color theme="8"/>
      <name val="Cambria"/>
      <family val="1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color rgb="FF000000"/>
      <name val="Cambria"/>
      <family val="2"/>
    </font>
    <font>
      <sz val="11"/>
      <name val="Cambria"/>
      <family val="1"/>
    </font>
    <font>
      <b/>
      <sz val="11"/>
      <name val="Palatino Linotype"/>
      <family val="1"/>
    </font>
    <font>
      <sz val="12"/>
      <color rgb="FF000000"/>
      <name val="Cambria"/>
      <family val="2"/>
    </font>
    <font>
      <b/>
      <sz val="12"/>
      <name val="Palatino Linotype"/>
      <family val="1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1EEDA"/>
      </patternFill>
    </fill>
    <fill>
      <patternFill patternType="solid">
        <fgColor rgb="FFC5DFB4"/>
      </patternFill>
    </fill>
    <fill>
      <patternFill patternType="solid">
        <fgColor rgb="FF6FAC46"/>
      </patternFill>
    </fill>
    <fill>
      <patternFill patternType="solid">
        <fgColor rgb="FFDDEBF7"/>
      </patternFill>
    </fill>
    <fill>
      <patternFill patternType="solid">
        <fgColor rgb="FF8EA9DB"/>
      </patternFill>
    </fill>
    <fill>
      <patternFill patternType="solid">
        <fgColor rgb="FFD9E0F1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shrinkToFit="1"/>
    </xf>
    <xf numFmtId="0" fontId="2" fillId="3" borderId="0" xfId="0" applyFont="1" applyFill="1" applyAlignment="1">
      <alignment horizontal="center" vertical="top" wrapText="1"/>
    </xf>
    <xf numFmtId="1" fontId="3" fillId="3" borderId="0" xfId="0" applyNumberFormat="1" applyFont="1" applyFill="1" applyAlignment="1">
      <alignment horizontal="center" vertical="top" shrinkToFit="1"/>
    </xf>
    <xf numFmtId="0" fontId="2" fillId="2" borderId="1" xfId="0" applyFont="1" applyFill="1" applyBorder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0" fontId="2" fillId="3" borderId="3" xfId="0" applyFont="1" applyFill="1" applyBorder="1" applyAlignment="1">
      <alignment horizontal="center" vertical="top" wrapText="1"/>
    </xf>
    <xf numFmtId="1" fontId="3" fillId="3" borderId="4" xfId="0" applyNumberFormat="1" applyFont="1" applyFill="1" applyBorder="1" applyAlignment="1">
      <alignment horizontal="center" vertical="top" shrinkToFit="1"/>
    </xf>
    <xf numFmtId="0" fontId="2" fillId="2" borderId="3" xfId="0" applyFont="1" applyFill="1" applyBorder="1" applyAlignment="1">
      <alignment horizontal="center" vertical="top" wrapText="1"/>
    </xf>
    <xf numFmtId="1" fontId="3" fillId="2" borderId="4" xfId="0" applyNumberFormat="1" applyFont="1" applyFill="1" applyBorder="1" applyAlignment="1">
      <alignment horizontal="center" vertical="top" shrinkToFit="1"/>
    </xf>
    <xf numFmtId="0" fontId="4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4" fontId="8" fillId="5" borderId="6" xfId="0" applyNumberFormat="1" applyFont="1" applyFill="1" applyBorder="1" applyAlignment="1">
      <alignment horizontal="right" vertical="top" shrinkToFit="1"/>
    </xf>
    <xf numFmtId="164" fontId="9" fillId="0" borderId="9" xfId="0" applyNumberFormat="1" applyFont="1" applyBorder="1"/>
    <xf numFmtId="9" fontId="10" fillId="0" borderId="9" xfId="0" applyNumberFormat="1" applyFont="1" applyBorder="1"/>
    <xf numFmtId="0" fontId="0" fillId="0" borderId="0" xfId="0" applyAlignment="1">
      <alignment horizontal="center" vertical="top" wrapText="1"/>
    </xf>
    <xf numFmtId="164" fontId="11" fillId="5" borderId="6" xfId="1" applyNumberFormat="1" applyFont="1" applyFill="1" applyBorder="1" applyAlignment="1">
      <alignment horizontal="right" vertical="top" shrinkToFit="1"/>
    </xf>
    <xf numFmtId="9" fontId="11" fillId="5" borderId="6" xfId="0" applyNumberFormat="1" applyFont="1" applyFill="1" applyBorder="1" applyAlignment="1">
      <alignment horizontal="center" vertical="top" shrinkToFit="1"/>
    </xf>
    <xf numFmtId="1" fontId="11" fillId="5" borderId="6" xfId="0" applyNumberFormat="1" applyFont="1" applyFill="1" applyBorder="1" applyAlignment="1">
      <alignment horizontal="right" vertical="top" shrinkToFit="1"/>
    </xf>
    <xf numFmtId="164" fontId="12" fillId="5" borderId="6" xfId="1" applyNumberFormat="1" applyFont="1" applyFill="1" applyBorder="1" applyAlignment="1">
      <alignment horizontal="left" wrapText="1" indent="3"/>
    </xf>
    <xf numFmtId="1" fontId="11" fillId="5" borderId="6" xfId="0" applyNumberFormat="1" applyFont="1" applyFill="1" applyBorder="1" applyAlignment="1">
      <alignment horizontal="center" vertical="top" shrinkToFit="1"/>
    </xf>
    <xf numFmtId="164" fontId="11" fillId="0" borderId="10" xfId="1" applyNumberFormat="1" applyFont="1" applyBorder="1" applyAlignment="1">
      <alignment horizontal="right" vertical="top" shrinkToFit="1"/>
    </xf>
    <xf numFmtId="9" fontId="11" fillId="0" borderId="10" xfId="0" applyNumberFormat="1" applyFont="1" applyBorder="1" applyAlignment="1">
      <alignment horizontal="center" vertical="top" shrinkToFit="1"/>
    </xf>
    <xf numFmtId="1" fontId="11" fillId="0" borderId="10" xfId="0" applyNumberFormat="1" applyFont="1" applyBorder="1" applyAlignment="1">
      <alignment horizontal="right" vertical="top" shrinkToFit="1"/>
    </xf>
    <xf numFmtId="164" fontId="12" fillId="0" borderId="10" xfId="1" applyNumberFormat="1" applyFont="1" applyBorder="1" applyAlignment="1">
      <alignment horizontal="left" wrapText="1" indent="3"/>
    </xf>
    <xf numFmtId="1" fontId="11" fillId="0" borderId="10" xfId="0" applyNumberFormat="1" applyFont="1" applyBorder="1" applyAlignment="1">
      <alignment horizontal="center" vertical="top" shrinkToFit="1"/>
    </xf>
    <xf numFmtId="164" fontId="11" fillId="5" borderId="10" xfId="1" applyNumberFormat="1" applyFont="1" applyFill="1" applyBorder="1" applyAlignment="1">
      <alignment horizontal="right" vertical="top" shrinkToFit="1"/>
    </xf>
    <xf numFmtId="9" fontId="11" fillId="5" borderId="10" xfId="0" applyNumberFormat="1" applyFont="1" applyFill="1" applyBorder="1" applyAlignment="1">
      <alignment horizontal="center" vertical="top" shrinkToFit="1"/>
    </xf>
    <xf numFmtId="1" fontId="11" fillId="5" borderId="10" xfId="0" applyNumberFormat="1" applyFont="1" applyFill="1" applyBorder="1" applyAlignment="1">
      <alignment horizontal="right" vertical="top" shrinkToFit="1"/>
    </xf>
    <xf numFmtId="164" fontId="12" fillId="5" borderId="10" xfId="1" applyNumberFormat="1" applyFont="1" applyFill="1" applyBorder="1" applyAlignment="1">
      <alignment horizontal="left" wrapText="1" indent="3"/>
    </xf>
    <xf numFmtId="1" fontId="11" fillId="5" borderId="10" xfId="0" applyNumberFormat="1" applyFont="1" applyFill="1" applyBorder="1" applyAlignment="1">
      <alignment horizontal="center" vertical="top" shrinkToFit="1"/>
    </xf>
    <xf numFmtId="0" fontId="13" fillId="6" borderId="11" xfId="0" applyFont="1" applyFill="1" applyBorder="1" applyAlignment="1">
      <alignment horizontal="center" vertical="top" wrapText="1"/>
    </xf>
    <xf numFmtId="0" fontId="13" fillId="6" borderId="11" xfId="0" applyFont="1" applyFill="1" applyBorder="1" applyAlignment="1">
      <alignment horizontal="left" vertical="top" wrapText="1" indent="2"/>
    </xf>
    <xf numFmtId="0" fontId="14" fillId="7" borderId="12" xfId="0" applyNumberFormat="1" applyFont="1" applyFill="1" applyBorder="1" applyAlignment="1">
      <alignment horizontal="center" vertical="top" shrinkToFit="1"/>
    </xf>
    <xf numFmtId="1" fontId="14" fillId="7" borderId="12" xfId="0" applyNumberFormat="1" applyFont="1" applyFill="1" applyBorder="1" applyAlignment="1">
      <alignment horizontal="center" vertical="top" shrinkToFit="1"/>
    </xf>
    <xf numFmtId="0" fontId="14" fillId="0" borderId="10" xfId="0" applyNumberFormat="1" applyFont="1" applyBorder="1" applyAlignment="1">
      <alignment horizontal="center" vertical="top" shrinkToFit="1"/>
    </xf>
    <xf numFmtId="1" fontId="14" fillId="0" borderId="10" xfId="0" applyNumberFormat="1" applyFont="1" applyBorder="1" applyAlignment="1">
      <alignment horizontal="center" vertical="top" shrinkToFit="1"/>
    </xf>
    <xf numFmtId="0" fontId="14" fillId="7" borderId="10" xfId="0" applyNumberFormat="1" applyFont="1" applyFill="1" applyBorder="1" applyAlignment="1">
      <alignment horizontal="center" vertical="top" shrinkToFit="1"/>
    </xf>
    <xf numFmtId="1" fontId="14" fillId="7" borderId="10" xfId="0" applyNumberFormat="1" applyFont="1" applyFill="1" applyBorder="1" applyAlignment="1">
      <alignment horizontal="center" vertical="top" shrinkToFit="1"/>
    </xf>
    <xf numFmtId="0" fontId="15" fillId="6" borderId="13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16" fillId="0" borderId="1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Speed/time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148356787848337E-2"/>
          <c:y val="0.1311176824262606"/>
          <c:w val="0.91207926113507165"/>
          <c:h val="0.71106813740793418"/>
        </c:manualLayout>
      </c:layout>
      <c:lineChart>
        <c:grouping val="standard"/>
        <c:varyColors val="0"/>
        <c:ser>
          <c:idx val="0"/>
          <c:order val="0"/>
          <c:tx>
            <c:strRef>
              <c:f>'EXO 4'!$E$3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'EXO 4'!$C$4:$C$13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'EXO 4'!$E$4:$E$13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1F-45DA-84BE-859D8F342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28904"/>
        <c:axId val="173130080"/>
      </c:lineChart>
      <c:catAx>
        <c:axId val="17312890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0080"/>
        <c:crosses val="autoZero"/>
        <c:auto val="1"/>
        <c:lblAlgn val="ctr"/>
        <c:lblOffset val="100"/>
        <c:noMultiLvlLbl val="0"/>
      </c:catAx>
      <c:valAx>
        <c:axId val="1731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268022747156604"/>
          <c:y val="0.91947871099445899"/>
          <c:w val="0.16569346074203034"/>
          <c:h val="6.6383676159422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</a:p>
        </c:rich>
      </c:tx>
      <c:layout>
        <c:manualLayout>
          <c:xMode val="edge"/>
          <c:yMode val="edge"/>
          <c:x val="0.40898073602222945"/>
          <c:y val="3.6058334986330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'EXO 4'!$E$3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'EXO 4'!$D$4:$D$13</c:f>
              <c:numCache>
                <c:formatCode>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'EXO 4'!$E$4:$E$13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8093-441E-B70F-064F3167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29296"/>
        <c:axId val="173136352"/>
      </c:lineChart>
      <c:catAx>
        <c:axId val="1731292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6352"/>
        <c:crosses val="autoZero"/>
        <c:auto val="1"/>
        <c:lblAlgn val="ctr"/>
        <c:lblOffset val="100"/>
        <c:noMultiLvlLbl val="0"/>
      </c:catAx>
      <c:valAx>
        <c:axId val="1731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16</xdr:row>
      <xdr:rowOff>7620</xdr:rowOff>
    </xdr:from>
    <xdr:to>
      <xdr:col>6</xdr:col>
      <xdr:colOff>601980</xdr:colOff>
      <xdr:row>34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57ADA7E-16E5-44F2-9F4C-6C59E481B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10160</xdr:colOff>
      <xdr:row>15</xdr:row>
      <xdr:rowOff>181610</xdr:rowOff>
    </xdr:from>
    <xdr:to>
      <xdr:col>18</xdr:col>
      <xdr:colOff>96520</xdr:colOff>
      <xdr:row>35</xdr:row>
      <xdr:rowOff>1270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23A197B2-6BCF-4FC3-88CB-4C0A7683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adh bensaid" refreshedDate="46000.39751909722" createdVersion="5" refreshedVersion="5" minRefreshableVersion="3" recordCount="40">
  <cacheSource type="worksheet">
    <worksheetSource ref="A2:C42" sheet="Table"/>
  </cacheSource>
  <cacheFields count="3">
    <cacheField name="Students" numFmtId="1">
      <sharedItems containsSemiMixedTypes="0" containsString="0" containsNumber="1" containsInteger="1" minValue="135" maxValue="9567" count="37">
        <n v="591"/>
        <n v="9567"/>
        <n v="542"/>
        <n v="346"/>
        <n v="849"/>
        <n v="552"/>
        <n v="173"/>
        <n v="1355"/>
        <n v="193"/>
        <n v="615"/>
        <n v="1579"/>
        <n v="547"/>
        <n v="1687"/>
        <n v="972"/>
        <n v="234"/>
        <n v="151"/>
        <n v="1793"/>
        <n v="315"/>
        <n v="618"/>
        <n v="246"/>
        <n v="784"/>
        <n v="316"/>
        <n v="3155"/>
        <n v="318"/>
        <n v="608"/>
        <n v="561"/>
        <n v="357"/>
        <n v="1688"/>
        <n v="568"/>
        <n v="632"/>
        <n v="551"/>
        <n v="948"/>
        <n v="1358"/>
        <n v="135"/>
        <n v="158"/>
        <n v="1889"/>
        <n v="651"/>
      </sharedItems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</r>
  <r>
    <x v="1"/>
    <x v="1"/>
    <x v="1"/>
  </r>
  <r>
    <x v="2"/>
    <x v="2"/>
    <x v="2"/>
  </r>
  <r>
    <x v="3"/>
    <x v="2"/>
    <x v="3"/>
  </r>
  <r>
    <x v="4"/>
    <x v="0"/>
    <x v="4"/>
  </r>
  <r>
    <x v="5"/>
    <x v="2"/>
    <x v="5"/>
  </r>
  <r>
    <x v="6"/>
    <x v="0"/>
    <x v="3"/>
  </r>
  <r>
    <x v="7"/>
    <x v="0"/>
    <x v="5"/>
  </r>
  <r>
    <x v="8"/>
    <x v="3"/>
    <x v="6"/>
  </r>
  <r>
    <x v="9"/>
    <x v="3"/>
    <x v="3"/>
  </r>
  <r>
    <x v="10"/>
    <x v="3"/>
    <x v="1"/>
  </r>
  <r>
    <x v="11"/>
    <x v="1"/>
    <x v="2"/>
  </r>
  <r>
    <x v="12"/>
    <x v="4"/>
    <x v="2"/>
  </r>
  <r>
    <x v="13"/>
    <x v="2"/>
    <x v="1"/>
  </r>
  <r>
    <x v="14"/>
    <x v="2"/>
    <x v="7"/>
  </r>
  <r>
    <x v="15"/>
    <x v="4"/>
    <x v="6"/>
  </r>
  <r>
    <x v="16"/>
    <x v="1"/>
    <x v="4"/>
  </r>
  <r>
    <x v="17"/>
    <x v="4"/>
    <x v="4"/>
  </r>
  <r>
    <x v="18"/>
    <x v="1"/>
    <x v="5"/>
  </r>
  <r>
    <x v="19"/>
    <x v="1"/>
    <x v="0"/>
  </r>
  <r>
    <x v="20"/>
    <x v="1"/>
    <x v="6"/>
  </r>
  <r>
    <x v="21"/>
    <x v="3"/>
    <x v="2"/>
  </r>
  <r>
    <x v="22"/>
    <x v="0"/>
    <x v="2"/>
  </r>
  <r>
    <x v="23"/>
    <x v="4"/>
    <x v="7"/>
  </r>
  <r>
    <x v="24"/>
    <x v="2"/>
    <x v="4"/>
  </r>
  <r>
    <x v="25"/>
    <x v="0"/>
    <x v="6"/>
  </r>
  <r>
    <x v="26"/>
    <x v="4"/>
    <x v="0"/>
  </r>
  <r>
    <x v="27"/>
    <x v="3"/>
    <x v="4"/>
  </r>
  <r>
    <x v="13"/>
    <x v="2"/>
    <x v="6"/>
  </r>
  <r>
    <x v="28"/>
    <x v="1"/>
    <x v="7"/>
  </r>
  <r>
    <x v="29"/>
    <x v="3"/>
    <x v="7"/>
  </r>
  <r>
    <x v="30"/>
    <x v="4"/>
    <x v="5"/>
  </r>
  <r>
    <x v="31"/>
    <x v="1"/>
    <x v="3"/>
  </r>
  <r>
    <x v="32"/>
    <x v="0"/>
    <x v="1"/>
  </r>
  <r>
    <x v="33"/>
    <x v="0"/>
    <x v="7"/>
  </r>
  <r>
    <x v="4"/>
    <x v="3"/>
    <x v="0"/>
  </r>
  <r>
    <x v="34"/>
    <x v="4"/>
    <x v="3"/>
  </r>
  <r>
    <x v="35"/>
    <x v="3"/>
    <x v="5"/>
  </r>
  <r>
    <x v="36"/>
    <x v="4"/>
    <x v="1"/>
  </r>
  <r>
    <x v="3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dataField="1" numFmtI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2" firstHeaderRow="0" firstDataRow="1" firstDataCol="1"/>
  <pivotFields count="3">
    <pivotField dataField="1" numFmtI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13" firstHeaderRow="1" firstDataRow="2" firstDataCol="1"/>
  <pivotFields count="3">
    <pivotField dataField="1" numFmtI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udent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2" workbookViewId="0">
      <selection sqref="A1:C42"/>
    </sheetView>
  </sheetViews>
  <sheetFormatPr defaultRowHeight="14.5" x14ac:dyDescent="0.35"/>
  <cols>
    <col min="1" max="1" width="12" customWidth="1"/>
    <col min="2" max="2" width="19.453125" customWidth="1"/>
    <col min="3" max="3" width="22.1796875" customWidth="1"/>
  </cols>
  <sheetData>
    <row r="1" spans="1:3" ht="25.75" customHeight="1" x14ac:dyDescent="0.35">
      <c r="A1" s="44" t="s">
        <v>36</v>
      </c>
      <c r="B1" s="45"/>
      <c r="C1" s="45"/>
    </row>
    <row r="2" spans="1:3" x14ac:dyDescent="0.35">
      <c r="A2" s="12" t="s">
        <v>15</v>
      </c>
      <c r="B2" s="11" t="s">
        <v>14</v>
      </c>
      <c r="C2" s="11" t="s">
        <v>13</v>
      </c>
    </row>
    <row r="3" spans="1:3" x14ac:dyDescent="0.35">
      <c r="A3" s="8">
        <v>591</v>
      </c>
      <c r="B3" s="7" t="s">
        <v>8</v>
      </c>
      <c r="C3" s="7" t="s">
        <v>0</v>
      </c>
    </row>
    <row r="4" spans="1:3" x14ac:dyDescent="0.35">
      <c r="A4" s="10">
        <v>9567</v>
      </c>
      <c r="B4" s="9" t="s">
        <v>9</v>
      </c>
      <c r="C4" s="9" t="s">
        <v>2</v>
      </c>
    </row>
    <row r="5" spans="1:3" x14ac:dyDescent="0.35">
      <c r="A5" s="8">
        <v>542</v>
      </c>
      <c r="B5" s="7" t="s">
        <v>1</v>
      </c>
      <c r="C5" s="7" t="s">
        <v>12</v>
      </c>
    </row>
    <row r="6" spans="1:3" x14ac:dyDescent="0.35">
      <c r="A6" s="10">
        <v>346</v>
      </c>
      <c r="B6" s="9" t="s">
        <v>1</v>
      </c>
      <c r="C6" s="9" t="s">
        <v>6</v>
      </c>
    </row>
    <row r="7" spans="1:3" x14ac:dyDescent="0.35">
      <c r="A7" s="8">
        <v>849</v>
      </c>
      <c r="B7" s="7" t="s">
        <v>8</v>
      </c>
      <c r="C7" s="7" t="s">
        <v>11</v>
      </c>
    </row>
    <row r="8" spans="1:3" x14ac:dyDescent="0.35">
      <c r="A8" s="10">
        <v>552</v>
      </c>
      <c r="B8" s="9" t="s">
        <v>1</v>
      </c>
      <c r="C8" s="9" t="s">
        <v>4</v>
      </c>
    </row>
    <row r="9" spans="1:3" x14ac:dyDescent="0.35">
      <c r="A9" s="8">
        <v>173</v>
      </c>
      <c r="B9" s="7" t="s">
        <v>8</v>
      </c>
      <c r="C9" s="7" t="s">
        <v>6</v>
      </c>
    </row>
    <row r="10" spans="1:3" x14ac:dyDescent="0.35">
      <c r="A10" s="6">
        <v>1355</v>
      </c>
      <c r="B10" s="5" t="s">
        <v>8</v>
      </c>
      <c r="C10" s="5" t="s">
        <v>4</v>
      </c>
    </row>
    <row r="11" spans="1:3" x14ac:dyDescent="0.35">
      <c r="A11" s="4">
        <v>193</v>
      </c>
      <c r="B11" s="3" t="s">
        <v>5</v>
      </c>
      <c r="C11" s="3" t="s">
        <v>10</v>
      </c>
    </row>
    <row r="12" spans="1:3" x14ac:dyDescent="0.35">
      <c r="A12" s="2">
        <v>615</v>
      </c>
      <c r="B12" s="1" t="s">
        <v>5</v>
      </c>
      <c r="C12" s="1" t="s">
        <v>6</v>
      </c>
    </row>
    <row r="13" spans="1:3" x14ac:dyDescent="0.35">
      <c r="A13" s="4">
        <v>1579</v>
      </c>
      <c r="B13" s="3" t="s">
        <v>5</v>
      </c>
      <c r="C13" s="3" t="s">
        <v>2</v>
      </c>
    </row>
    <row r="14" spans="1:3" x14ac:dyDescent="0.35">
      <c r="A14" s="2">
        <v>547</v>
      </c>
      <c r="B14" s="1" t="s">
        <v>9</v>
      </c>
      <c r="C14" s="1" t="s">
        <v>12</v>
      </c>
    </row>
    <row r="15" spans="1:3" x14ac:dyDescent="0.35">
      <c r="A15" s="4">
        <v>1687</v>
      </c>
      <c r="B15" s="3" t="s">
        <v>3</v>
      </c>
      <c r="C15" s="3" t="s">
        <v>12</v>
      </c>
    </row>
    <row r="16" spans="1:3" x14ac:dyDescent="0.35">
      <c r="A16" s="2">
        <v>972</v>
      </c>
      <c r="B16" s="1" t="s">
        <v>1</v>
      </c>
      <c r="C16" s="1" t="s">
        <v>2</v>
      </c>
    </row>
    <row r="17" spans="1:3" x14ac:dyDescent="0.35">
      <c r="A17" s="4">
        <v>234</v>
      </c>
      <c r="B17" s="3" t="s">
        <v>1</v>
      </c>
      <c r="C17" s="3" t="s">
        <v>7</v>
      </c>
    </row>
    <row r="18" spans="1:3" x14ac:dyDescent="0.35">
      <c r="A18" s="2">
        <v>151</v>
      </c>
      <c r="B18" s="1" t="s">
        <v>3</v>
      </c>
      <c r="C18" s="1" t="s">
        <v>10</v>
      </c>
    </row>
    <row r="19" spans="1:3" x14ac:dyDescent="0.35">
      <c r="A19" s="4">
        <v>1793</v>
      </c>
      <c r="B19" s="3" t="s">
        <v>9</v>
      </c>
      <c r="C19" s="3" t="s">
        <v>11</v>
      </c>
    </row>
    <row r="20" spans="1:3" x14ac:dyDescent="0.35">
      <c r="A20" s="2">
        <v>315</v>
      </c>
      <c r="B20" s="1" t="s">
        <v>3</v>
      </c>
      <c r="C20" s="1" t="s">
        <v>11</v>
      </c>
    </row>
    <row r="21" spans="1:3" x14ac:dyDescent="0.35">
      <c r="A21" s="4">
        <v>618</v>
      </c>
      <c r="B21" s="3" t="s">
        <v>9</v>
      </c>
      <c r="C21" s="3" t="s">
        <v>4</v>
      </c>
    </row>
    <row r="22" spans="1:3" x14ac:dyDescent="0.35">
      <c r="A22" s="2">
        <v>246</v>
      </c>
      <c r="B22" s="1" t="s">
        <v>9</v>
      </c>
      <c r="C22" s="1" t="s">
        <v>0</v>
      </c>
    </row>
    <row r="23" spans="1:3" x14ac:dyDescent="0.35">
      <c r="A23" s="4">
        <v>784</v>
      </c>
      <c r="B23" s="3" t="s">
        <v>9</v>
      </c>
      <c r="C23" s="3" t="s">
        <v>10</v>
      </c>
    </row>
    <row r="24" spans="1:3" x14ac:dyDescent="0.35">
      <c r="A24" s="2">
        <v>316</v>
      </c>
      <c r="B24" s="1" t="s">
        <v>5</v>
      </c>
      <c r="C24" s="1" t="s">
        <v>12</v>
      </c>
    </row>
    <row r="25" spans="1:3" x14ac:dyDescent="0.35">
      <c r="A25" s="4">
        <v>3155</v>
      </c>
      <c r="B25" s="3" t="s">
        <v>8</v>
      </c>
      <c r="C25" s="3" t="s">
        <v>12</v>
      </c>
    </row>
    <row r="26" spans="1:3" x14ac:dyDescent="0.35">
      <c r="A26" s="2">
        <v>318</v>
      </c>
      <c r="B26" s="1" t="s">
        <v>3</v>
      </c>
      <c r="C26" s="1" t="s">
        <v>7</v>
      </c>
    </row>
    <row r="27" spans="1:3" x14ac:dyDescent="0.35">
      <c r="A27" s="4">
        <v>608</v>
      </c>
      <c r="B27" s="3" t="s">
        <v>1</v>
      </c>
      <c r="C27" s="3" t="s">
        <v>11</v>
      </c>
    </row>
    <row r="28" spans="1:3" x14ac:dyDescent="0.35">
      <c r="A28" s="2">
        <v>561</v>
      </c>
      <c r="B28" s="1" t="s">
        <v>8</v>
      </c>
      <c r="C28" s="1" t="s">
        <v>10</v>
      </c>
    </row>
    <row r="29" spans="1:3" x14ac:dyDescent="0.35">
      <c r="A29" s="4">
        <v>357</v>
      </c>
      <c r="B29" s="3" t="s">
        <v>3</v>
      </c>
      <c r="C29" s="3" t="s">
        <v>0</v>
      </c>
    </row>
    <row r="30" spans="1:3" x14ac:dyDescent="0.35">
      <c r="A30" s="2">
        <v>1688</v>
      </c>
      <c r="B30" s="1" t="s">
        <v>5</v>
      </c>
      <c r="C30" s="1" t="s">
        <v>11</v>
      </c>
    </row>
    <row r="31" spans="1:3" x14ac:dyDescent="0.35">
      <c r="A31" s="4">
        <v>972</v>
      </c>
      <c r="B31" s="3" t="s">
        <v>1</v>
      </c>
      <c r="C31" s="3" t="s">
        <v>10</v>
      </c>
    </row>
    <row r="32" spans="1:3" x14ac:dyDescent="0.35">
      <c r="A32" s="2">
        <v>568</v>
      </c>
      <c r="B32" s="1" t="s">
        <v>9</v>
      </c>
      <c r="C32" s="1" t="s">
        <v>7</v>
      </c>
    </row>
    <row r="33" spans="1:3" x14ac:dyDescent="0.35">
      <c r="A33" s="4">
        <v>632</v>
      </c>
      <c r="B33" s="3" t="s">
        <v>5</v>
      </c>
      <c r="C33" s="3" t="s">
        <v>7</v>
      </c>
    </row>
    <row r="34" spans="1:3" x14ac:dyDescent="0.35">
      <c r="A34" s="2">
        <v>551</v>
      </c>
      <c r="B34" s="1" t="s">
        <v>3</v>
      </c>
      <c r="C34" s="1" t="s">
        <v>4</v>
      </c>
    </row>
    <row r="35" spans="1:3" x14ac:dyDescent="0.35">
      <c r="A35" s="4">
        <v>948</v>
      </c>
      <c r="B35" s="3" t="s">
        <v>9</v>
      </c>
      <c r="C35" s="3" t="s">
        <v>6</v>
      </c>
    </row>
    <row r="36" spans="1:3" x14ac:dyDescent="0.35">
      <c r="A36" s="2">
        <v>1358</v>
      </c>
      <c r="B36" s="1" t="s">
        <v>8</v>
      </c>
      <c r="C36" s="1" t="s">
        <v>2</v>
      </c>
    </row>
    <row r="37" spans="1:3" x14ac:dyDescent="0.35">
      <c r="A37" s="4">
        <v>135</v>
      </c>
      <c r="B37" s="3" t="s">
        <v>8</v>
      </c>
      <c r="C37" s="3" t="s">
        <v>7</v>
      </c>
    </row>
    <row r="38" spans="1:3" x14ac:dyDescent="0.35">
      <c r="A38" s="2">
        <v>849</v>
      </c>
      <c r="B38" s="1" t="s">
        <v>5</v>
      </c>
      <c r="C38" s="1" t="s">
        <v>0</v>
      </c>
    </row>
    <row r="39" spans="1:3" x14ac:dyDescent="0.35">
      <c r="A39" s="4">
        <v>158</v>
      </c>
      <c r="B39" s="3" t="s">
        <v>3</v>
      </c>
      <c r="C39" s="3" t="s">
        <v>6</v>
      </c>
    </row>
    <row r="40" spans="1:3" x14ac:dyDescent="0.35">
      <c r="A40" s="2">
        <v>1889</v>
      </c>
      <c r="B40" s="1" t="s">
        <v>5</v>
      </c>
      <c r="C40" s="1" t="s">
        <v>4</v>
      </c>
    </row>
    <row r="41" spans="1:3" x14ac:dyDescent="0.35">
      <c r="A41" s="4">
        <v>651</v>
      </c>
      <c r="B41" s="3" t="s">
        <v>3</v>
      </c>
      <c r="C41" s="3" t="s">
        <v>2</v>
      </c>
    </row>
    <row r="42" spans="1:3" x14ac:dyDescent="0.35">
      <c r="A42" s="2">
        <v>651</v>
      </c>
      <c r="B42" s="1" t="s">
        <v>1</v>
      </c>
      <c r="C42" s="1" t="s"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C6" sqref="C6"/>
    </sheetView>
  </sheetViews>
  <sheetFormatPr defaultRowHeight="14.5" x14ac:dyDescent="0.35"/>
  <cols>
    <col min="1" max="1" width="25.6328125" customWidth="1"/>
    <col min="2" max="3" width="30.6328125" customWidth="1"/>
    <col min="4" max="24" width="3.81640625" customWidth="1"/>
    <col min="25" max="25" width="4.81640625" customWidth="1"/>
    <col min="26" max="26" width="3.81640625" customWidth="1"/>
    <col min="27" max="27" width="4.81640625" customWidth="1"/>
    <col min="28" max="28" width="3.81640625" customWidth="1"/>
    <col min="29" max="38" width="4.81640625" customWidth="1"/>
    <col min="39" max="39" width="10.7265625" bestFit="1" customWidth="1"/>
  </cols>
  <sheetData>
    <row r="2" spans="1:3" x14ac:dyDescent="0.35">
      <c r="B2" t="s">
        <v>35</v>
      </c>
    </row>
    <row r="3" spans="1:3" x14ac:dyDescent="0.35">
      <c r="A3" s="15" t="s">
        <v>18</v>
      </c>
      <c r="B3" t="s">
        <v>17</v>
      </c>
      <c r="C3" t="s">
        <v>19</v>
      </c>
    </row>
    <row r="4" spans="1:3" x14ac:dyDescent="0.35">
      <c r="A4" s="14" t="s">
        <v>8</v>
      </c>
      <c r="B4" s="13">
        <v>8177</v>
      </c>
      <c r="C4" s="13">
        <v>1022.125</v>
      </c>
    </row>
    <row r="5" spans="1:3" x14ac:dyDescent="0.35">
      <c r="A5" s="14" t="s">
        <v>1</v>
      </c>
      <c r="B5" s="13">
        <v>4877</v>
      </c>
      <c r="C5" s="13">
        <v>609.625</v>
      </c>
    </row>
    <row r="6" spans="1:3" x14ac:dyDescent="0.35">
      <c r="A6" s="14" t="s">
        <v>5</v>
      </c>
      <c r="B6" s="13">
        <v>7761</v>
      </c>
      <c r="C6" s="13">
        <v>970.125</v>
      </c>
    </row>
    <row r="7" spans="1:3" x14ac:dyDescent="0.35">
      <c r="A7" s="14" t="s">
        <v>9</v>
      </c>
      <c r="B7" s="13">
        <v>15071</v>
      </c>
      <c r="C7" s="13">
        <v>1883.875</v>
      </c>
    </row>
    <row r="8" spans="1:3" x14ac:dyDescent="0.35">
      <c r="A8" s="14" t="s">
        <v>3</v>
      </c>
      <c r="B8" s="13">
        <v>4188</v>
      </c>
      <c r="C8" s="13">
        <v>523.5</v>
      </c>
    </row>
    <row r="9" spans="1:3" x14ac:dyDescent="0.35">
      <c r="A9" s="14" t="s">
        <v>16</v>
      </c>
      <c r="B9" s="13">
        <v>40074</v>
      </c>
      <c r="C9" s="13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workbookViewId="0"/>
  </sheetViews>
  <sheetFormatPr defaultRowHeight="14.5" x14ac:dyDescent="0.35"/>
  <cols>
    <col min="1" max="1" width="28.6328125" customWidth="1"/>
    <col min="2" max="3" width="33.6328125" customWidth="1"/>
    <col min="4" max="24" width="3.81640625" customWidth="1"/>
    <col min="25" max="25" width="4.81640625" customWidth="1"/>
    <col min="26" max="26" width="3.81640625" customWidth="1"/>
    <col min="27" max="27" width="4.81640625" customWidth="1"/>
    <col min="28" max="28" width="3.81640625" customWidth="1"/>
    <col min="29" max="38" width="4.81640625" customWidth="1"/>
    <col min="39" max="39" width="10.7265625" bestFit="1" customWidth="1"/>
  </cols>
  <sheetData>
    <row r="3" spans="1:3" x14ac:dyDescent="0.35">
      <c r="A3" s="15" t="s">
        <v>18</v>
      </c>
      <c r="B3" t="s">
        <v>17</v>
      </c>
      <c r="C3" t="s">
        <v>19</v>
      </c>
    </row>
    <row r="4" spans="1:3" x14ac:dyDescent="0.35">
      <c r="A4" s="14" t="s">
        <v>2</v>
      </c>
      <c r="B4" s="13">
        <v>14127</v>
      </c>
      <c r="C4" s="13">
        <v>2825.4</v>
      </c>
    </row>
    <row r="5" spans="1:3" x14ac:dyDescent="0.35">
      <c r="A5" s="14" t="s">
        <v>11</v>
      </c>
      <c r="B5" s="13">
        <v>5253</v>
      </c>
      <c r="C5" s="13">
        <v>1050.5999999999999</v>
      </c>
    </row>
    <row r="6" spans="1:3" x14ac:dyDescent="0.35">
      <c r="A6" s="14" t="s">
        <v>4</v>
      </c>
      <c r="B6" s="13">
        <v>4965</v>
      </c>
      <c r="C6" s="13">
        <v>993</v>
      </c>
    </row>
    <row r="7" spans="1:3" x14ac:dyDescent="0.35">
      <c r="A7" s="14" t="s">
        <v>12</v>
      </c>
      <c r="B7" s="13">
        <v>6247</v>
      </c>
      <c r="C7" s="13">
        <v>1249.4000000000001</v>
      </c>
    </row>
    <row r="8" spans="1:3" x14ac:dyDescent="0.35">
      <c r="A8" s="14" t="s">
        <v>6</v>
      </c>
      <c r="B8" s="13">
        <v>2240</v>
      </c>
      <c r="C8" s="13">
        <v>448</v>
      </c>
    </row>
    <row r="9" spans="1:3" x14ac:dyDescent="0.35">
      <c r="A9" s="14" t="s">
        <v>7</v>
      </c>
      <c r="B9" s="13">
        <v>1887</v>
      </c>
      <c r="C9" s="13">
        <v>377.4</v>
      </c>
    </row>
    <row r="10" spans="1:3" x14ac:dyDescent="0.35">
      <c r="A10" s="14" t="s">
        <v>10</v>
      </c>
      <c r="B10" s="13">
        <v>2661</v>
      </c>
      <c r="C10" s="13">
        <v>532.20000000000005</v>
      </c>
    </row>
    <row r="11" spans="1:3" x14ac:dyDescent="0.35">
      <c r="A11" s="14" t="s">
        <v>0</v>
      </c>
      <c r="B11" s="13">
        <v>2694</v>
      </c>
      <c r="C11" s="13">
        <v>538.79999999999995</v>
      </c>
    </row>
    <row r="12" spans="1:3" x14ac:dyDescent="0.35">
      <c r="A12" s="14" t="s">
        <v>16</v>
      </c>
      <c r="B12" s="13">
        <v>40074</v>
      </c>
      <c r="C12" s="13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workbookViewId="0">
      <selection activeCell="A3" sqref="A3"/>
    </sheetView>
  </sheetViews>
  <sheetFormatPr defaultRowHeight="14.5" x14ac:dyDescent="0.35"/>
  <cols>
    <col min="1" max="1" width="14.6328125" bestFit="1" customWidth="1"/>
    <col min="2" max="2" width="20.6328125" customWidth="1"/>
    <col min="3" max="3" width="15.81640625" customWidth="1"/>
    <col min="4" max="7" width="15.6328125" customWidth="1"/>
  </cols>
  <sheetData>
    <row r="3" spans="1:7" x14ac:dyDescent="0.35">
      <c r="A3" s="15" t="s">
        <v>17</v>
      </c>
      <c r="B3" s="15" t="s">
        <v>20</v>
      </c>
    </row>
    <row r="4" spans="1:7" x14ac:dyDescent="0.35">
      <c r="A4" s="15" t="s">
        <v>18</v>
      </c>
      <c r="B4" t="s">
        <v>8</v>
      </c>
      <c r="C4" t="s">
        <v>1</v>
      </c>
      <c r="D4" t="s">
        <v>5</v>
      </c>
      <c r="E4" t="s">
        <v>9</v>
      </c>
      <c r="F4" t="s">
        <v>3</v>
      </c>
      <c r="G4" t="s">
        <v>16</v>
      </c>
    </row>
    <row r="5" spans="1:7" x14ac:dyDescent="0.35">
      <c r="A5" s="14" t="s">
        <v>2</v>
      </c>
      <c r="B5" s="13">
        <v>1358</v>
      </c>
      <c r="C5" s="13">
        <v>972</v>
      </c>
      <c r="D5" s="13">
        <v>1579</v>
      </c>
      <c r="E5" s="13">
        <v>9567</v>
      </c>
      <c r="F5" s="13">
        <v>651</v>
      </c>
      <c r="G5" s="13">
        <v>14127</v>
      </c>
    </row>
    <row r="6" spans="1:7" x14ac:dyDescent="0.35">
      <c r="A6" s="14" t="s">
        <v>11</v>
      </c>
      <c r="B6" s="13">
        <v>849</v>
      </c>
      <c r="C6" s="13">
        <v>608</v>
      </c>
      <c r="D6" s="13">
        <v>1688</v>
      </c>
      <c r="E6" s="13">
        <v>1793</v>
      </c>
      <c r="F6" s="13">
        <v>315</v>
      </c>
      <c r="G6" s="13">
        <v>5253</v>
      </c>
    </row>
    <row r="7" spans="1:7" x14ac:dyDescent="0.35">
      <c r="A7" s="14" t="s">
        <v>4</v>
      </c>
      <c r="B7" s="13">
        <v>1355</v>
      </c>
      <c r="C7" s="13">
        <v>552</v>
      </c>
      <c r="D7" s="13">
        <v>1889</v>
      </c>
      <c r="E7" s="13">
        <v>618</v>
      </c>
      <c r="F7" s="13">
        <v>551</v>
      </c>
      <c r="G7" s="13">
        <v>4965</v>
      </c>
    </row>
    <row r="8" spans="1:7" x14ac:dyDescent="0.35">
      <c r="A8" s="14" t="s">
        <v>12</v>
      </c>
      <c r="B8" s="13">
        <v>3155</v>
      </c>
      <c r="C8" s="13">
        <v>542</v>
      </c>
      <c r="D8" s="13">
        <v>316</v>
      </c>
      <c r="E8" s="13">
        <v>547</v>
      </c>
      <c r="F8" s="13">
        <v>1687</v>
      </c>
      <c r="G8" s="13">
        <v>6247</v>
      </c>
    </row>
    <row r="9" spans="1:7" x14ac:dyDescent="0.35">
      <c r="A9" s="14" t="s">
        <v>6</v>
      </c>
      <c r="B9" s="13">
        <v>173</v>
      </c>
      <c r="C9" s="13">
        <v>346</v>
      </c>
      <c r="D9" s="13">
        <v>615</v>
      </c>
      <c r="E9" s="13">
        <v>948</v>
      </c>
      <c r="F9" s="13">
        <v>158</v>
      </c>
      <c r="G9" s="13">
        <v>2240</v>
      </c>
    </row>
    <row r="10" spans="1:7" x14ac:dyDescent="0.35">
      <c r="A10" s="14" t="s">
        <v>7</v>
      </c>
      <c r="B10" s="13">
        <v>135</v>
      </c>
      <c r="C10" s="13">
        <v>234</v>
      </c>
      <c r="D10" s="13">
        <v>632</v>
      </c>
      <c r="E10" s="13">
        <v>568</v>
      </c>
      <c r="F10" s="13">
        <v>318</v>
      </c>
      <c r="G10" s="13">
        <v>1887</v>
      </c>
    </row>
    <row r="11" spans="1:7" x14ac:dyDescent="0.35">
      <c r="A11" s="14" t="s">
        <v>10</v>
      </c>
      <c r="B11" s="13">
        <v>561</v>
      </c>
      <c r="C11" s="13">
        <v>972</v>
      </c>
      <c r="D11" s="13">
        <v>193</v>
      </c>
      <c r="E11" s="13">
        <v>784</v>
      </c>
      <c r="F11" s="13">
        <v>151</v>
      </c>
      <c r="G11" s="13">
        <v>2661</v>
      </c>
    </row>
    <row r="12" spans="1:7" x14ac:dyDescent="0.35">
      <c r="A12" s="14" t="s">
        <v>0</v>
      </c>
      <c r="B12" s="13">
        <v>591</v>
      </c>
      <c r="C12" s="13">
        <v>651</v>
      </c>
      <c r="D12" s="13">
        <v>849</v>
      </c>
      <c r="E12" s="13">
        <v>246</v>
      </c>
      <c r="F12" s="13">
        <v>357</v>
      </c>
      <c r="G12" s="13">
        <v>2694</v>
      </c>
    </row>
    <row r="13" spans="1:7" x14ac:dyDescent="0.35">
      <c r="A13" s="14" t="s">
        <v>16</v>
      </c>
      <c r="B13" s="13">
        <v>8177</v>
      </c>
      <c r="C13" s="13">
        <v>4877</v>
      </c>
      <c r="D13" s="13">
        <v>7761</v>
      </c>
      <c r="E13" s="13">
        <v>15071</v>
      </c>
      <c r="F13" s="13">
        <v>4188</v>
      </c>
      <c r="G13" s="13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22"/>
  <sheetViews>
    <sheetView workbookViewId="0">
      <selection activeCell="G12" sqref="G12"/>
    </sheetView>
  </sheetViews>
  <sheetFormatPr defaultRowHeight="14.5" x14ac:dyDescent="0.35"/>
  <cols>
    <col min="4" max="4" width="14.1796875" customWidth="1"/>
    <col min="5" max="5" width="18.36328125" customWidth="1"/>
    <col min="6" max="6" width="14.1796875" customWidth="1"/>
    <col min="7" max="7" width="18.1796875" customWidth="1"/>
    <col min="8" max="8" width="14.36328125" customWidth="1"/>
    <col min="9" max="9" width="13.6328125" customWidth="1"/>
    <col min="10" max="10" width="20.08984375" customWidth="1"/>
  </cols>
  <sheetData>
    <row r="3" spans="4:10" ht="15.5" x14ac:dyDescent="0.35">
      <c r="D3" s="35" t="s">
        <v>31</v>
      </c>
      <c r="E3" s="35" t="s">
        <v>30</v>
      </c>
      <c r="F3" s="36" t="s">
        <v>29</v>
      </c>
      <c r="G3" s="35" t="s">
        <v>28</v>
      </c>
      <c r="H3" s="35" t="s">
        <v>27</v>
      </c>
      <c r="I3" s="35" t="s">
        <v>26</v>
      </c>
      <c r="J3" s="35" t="s">
        <v>25</v>
      </c>
    </row>
    <row r="4" spans="4:10" x14ac:dyDescent="0.35">
      <c r="D4" s="29">
        <v>1</v>
      </c>
      <c r="E4" s="28">
        <v>120</v>
      </c>
      <c r="F4" s="27">
        <v>3</v>
      </c>
      <c r="G4" s="25">
        <f t="shared" ref="G4:G17" si="0">E4*F4</f>
        <v>360</v>
      </c>
      <c r="H4" s="26">
        <f t="shared" ref="H4:H17" si="1">IF(AND(G4&gt;99,G4&lt;1000),5%,IF(G4&lt;1000,0%,10%))</f>
        <v>0.05</v>
      </c>
      <c r="I4" s="25">
        <f t="shared" ref="I4:I17" si="2">G4*H4</f>
        <v>18</v>
      </c>
      <c r="J4" s="25">
        <f t="shared" ref="J4:J17" si="3">G4-I4</f>
        <v>342</v>
      </c>
    </row>
    <row r="5" spans="4:10" x14ac:dyDescent="0.35">
      <c r="D5" s="34">
        <v>2</v>
      </c>
      <c r="E5" s="33">
        <v>56</v>
      </c>
      <c r="F5" s="32">
        <v>5</v>
      </c>
      <c r="G5" s="30">
        <f t="shared" si="0"/>
        <v>280</v>
      </c>
      <c r="H5" s="31">
        <f t="shared" si="1"/>
        <v>0.05</v>
      </c>
      <c r="I5" s="30">
        <f t="shared" si="2"/>
        <v>14</v>
      </c>
      <c r="J5" s="30">
        <f t="shared" si="3"/>
        <v>266</v>
      </c>
    </row>
    <row r="6" spans="4:10" x14ac:dyDescent="0.35">
      <c r="D6" s="29">
        <v>3</v>
      </c>
      <c r="E6" s="28">
        <v>70</v>
      </c>
      <c r="F6" s="27">
        <v>2</v>
      </c>
      <c r="G6" s="25">
        <f t="shared" si="0"/>
        <v>140</v>
      </c>
      <c r="H6" s="26">
        <f t="shared" si="1"/>
        <v>0.05</v>
      </c>
      <c r="I6" s="25">
        <f t="shared" si="2"/>
        <v>7</v>
      </c>
      <c r="J6" s="25">
        <f t="shared" si="3"/>
        <v>133</v>
      </c>
    </row>
    <row r="7" spans="4:10" x14ac:dyDescent="0.35">
      <c r="D7" s="34">
        <v>4</v>
      </c>
      <c r="E7" s="33">
        <v>430</v>
      </c>
      <c r="F7" s="32">
        <v>7</v>
      </c>
      <c r="G7" s="30">
        <f t="shared" si="0"/>
        <v>3010</v>
      </c>
      <c r="H7" s="31">
        <f t="shared" si="1"/>
        <v>0.1</v>
      </c>
      <c r="I7" s="30">
        <f t="shared" si="2"/>
        <v>301</v>
      </c>
      <c r="J7" s="30">
        <f t="shared" si="3"/>
        <v>2709</v>
      </c>
    </row>
    <row r="8" spans="4:10" x14ac:dyDescent="0.35">
      <c r="D8" s="29">
        <v>5</v>
      </c>
      <c r="E8" s="28">
        <v>230</v>
      </c>
      <c r="F8" s="27">
        <v>23</v>
      </c>
      <c r="G8" s="25">
        <f t="shared" si="0"/>
        <v>5290</v>
      </c>
      <c r="H8" s="26">
        <f t="shared" si="1"/>
        <v>0.1</v>
      </c>
      <c r="I8" s="25">
        <f t="shared" si="2"/>
        <v>529</v>
      </c>
      <c r="J8" s="25">
        <f t="shared" si="3"/>
        <v>4761</v>
      </c>
    </row>
    <row r="9" spans="4:10" x14ac:dyDescent="0.35">
      <c r="D9" s="34">
        <v>6</v>
      </c>
      <c r="E9" s="33">
        <v>10</v>
      </c>
      <c r="F9" s="32">
        <v>2</v>
      </c>
      <c r="G9" s="30">
        <f t="shared" si="0"/>
        <v>20</v>
      </c>
      <c r="H9" s="31">
        <f t="shared" si="1"/>
        <v>0</v>
      </c>
      <c r="I9" s="30">
        <f t="shared" si="2"/>
        <v>0</v>
      </c>
      <c r="J9" s="30">
        <f t="shared" si="3"/>
        <v>20</v>
      </c>
    </row>
    <row r="10" spans="4:10" x14ac:dyDescent="0.35">
      <c r="D10" s="29">
        <v>7</v>
      </c>
      <c r="E10" s="28">
        <v>5</v>
      </c>
      <c r="F10" s="27">
        <v>8</v>
      </c>
      <c r="G10" s="25">
        <f t="shared" si="0"/>
        <v>40</v>
      </c>
      <c r="H10" s="26">
        <f t="shared" si="1"/>
        <v>0</v>
      </c>
      <c r="I10" s="25">
        <f t="shared" si="2"/>
        <v>0</v>
      </c>
      <c r="J10" s="25">
        <f t="shared" si="3"/>
        <v>40</v>
      </c>
    </row>
    <row r="11" spans="4:10" x14ac:dyDescent="0.35">
      <c r="D11" s="34">
        <v>8</v>
      </c>
      <c r="E11" s="33">
        <v>5040</v>
      </c>
      <c r="F11" s="32">
        <v>1</v>
      </c>
      <c r="G11" s="30">
        <f t="shared" si="0"/>
        <v>5040</v>
      </c>
      <c r="H11" s="31">
        <f t="shared" si="1"/>
        <v>0.1</v>
      </c>
      <c r="I11" s="30">
        <f t="shared" si="2"/>
        <v>504</v>
      </c>
      <c r="J11" s="30">
        <f t="shared" si="3"/>
        <v>4536</v>
      </c>
    </row>
    <row r="12" spans="4:10" x14ac:dyDescent="0.35">
      <c r="D12" s="29">
        <v>9</v>
      </c>
      <c r="E12" s="28">
        <v>1200</v>
      </c>
      <c r="F12" s="27">
        <v>3</v>
      </c>
      <c r="G12" s="25">
        <f t="shared" si="0"/>
        <v>3600</v>
      </c>
      <c r="H12" s="26">
        <f t="shared" si="1"/>
        <v>0.1</v>
      </c>
      <c r="I12" s="25">
        <f t="shared" si="2"/>
        <v>360</v>
      </c>
      <c r="J12" s="25">
        <f t="shared" si="3"/>
        <v>3240</v>
      </c>
    </row>
    <row r="13" spans="4:10" x14ac:dyDescent="0.35">
      <c r="D13" s="34">
        <v>10</v>
      </c>
      <c r="E13" s="33">
        <v>480</v>
      </c>
      <c r="F13" s="32">
        <v>4</v>
      </c>
      <c r="G13" s="30">
        <f t="shared" si="0"/>
        <v>1920</v>
      </c>
      <c r="H13" s="31">
        <f t="shared" si="1"/>
        <v>0.1</v>
      </c>
      <c r="I13" s="30">
        <f t="shared" si="2"/>
        <v>192</v>
      </c>
      <c r="J13" s="30">
        <f t="shared" si="3"/>
        <v>1728</v>
      </c>
    </row>
    <row r="14" spans="4:10" x14ac:dyDescent="0.35">
      <c r="D14" s="29">
        <v>11</v>
      </c>
      <c r="E14" s="28">
        <v>33</v>
      </c>
      <c r="F14" s="27">
        <v>5</v>
      </c>
      <c r="G14" s="25">
        <f t="shared" si="0"/>
        <v>165</v>
      </c>
      <c r="H14" s="26">
        <f t="shared" si="1"/>
        <v>0.05</v>
      </c>
      <c r="I14" s="25">
        <f t="shared" si="2"/>
        <v>8.25</v>
      </c>
      <c r="J14" s="25">
        <f t="shared" si="3"/>
        <v>156.75</v>
      </c>
    </row>
    <row r="15" spans="4:10" x14ac:dyDescent="0.35">
      <c r="D15" s="34">
        <v>12</v>
      </c>
      <c r="E15" s="33">
        <v>1200</v>
      </c>
      <c r="F15" s="32">
        <v>2</v>
      </c>
      <c r="G15" s="30">
        <f t="shared" si="0"/>
        <v>2400</v>
      </c>
      <c r="H15" s="31">
        <f t="shared" si="1"/>
        <v>0.1</v>
      </c>
      <c r="I15" s="30">
        <f t="shared" si="2"/>
        <v>240</v>
      </c>
      <c r="J15" s="30">
        <f t="shared" si="3"/>
        <v>2160</v>
      </c>
    </row>
    <row r="16" spans="4:10" x14ac:dyDescent="0.35">
      <c r="D16" s="29">
        <v>13</v>
      </c>
      <c r="E16" s="28">
        <v>15</v>
      </c>
      <c r="F16" s="27">
        <v>10</v>
      </c>
      <c r="G16" s="25">
        <f t="shared" si="0"/>
        <v>150</v>
      </c>
      <c r="H16" s="26">
        <f t="shared" si="1"/>
        <v>0.05</v>
      </c>
      <c r="I16" s="25">
        <f t="shared" si="2"/>
        <v>7.5</v>
      </c>
      <c r="J16" s="25">
        <f t="shared" si="3"/>
        <v>142.5</v>
      </c>
    </row>
    <row r="17" spans="4:10" x14ac:dyDescent="0.35">
      <c r="D17" s="24">
        <v>14</v>
      </c>
      <c r="E17" s="23">
        <v>24</v>
      </c>
      <c r="F17" s="22">
        <v>5</v>
      </c>
      <c r="G17" s="20">
        <f t="shared" si="0"/>
        <v>120</v>
      </c>
      <c r="H17" s="21">
        <f t="shared" si="1"/>
        <v>0.05</v>
      </c>
      <c r="I17" s="20">
        <f t="shared" si="2"/>
        <v>6</v>
      </c>
      <c r="J17" s="20">
        <f t="shared" si="3"/>
        <v>114</v>
      </c>
    </row>
    <row r="19" spans="4:10" ht="15.5" x14ac:dyDescent="0.35">
      <c r="E19" s="19"/>
      <c r="H19" s="46" t="s">
        <v>24</v>
      </c>
      <c r="I19" s="47"/>
      <c r="J19" s="17">
        <f>SUM(J4:J17)</f>
        <v>20348.25</v>
      </c>
    </row>
    <row r="20" spans="4:10" ht="15.5" x14ac:dyDescent="0.35">
      <c r="H20" s="46" t="s">
        <v>23</v>
      </c>
      <c r="I20" s="47"/>
      <c r="J20" s="18">
        <v>0.19</v>
      </c>
    </row>
    <row r="21" spans="4:10" ht="15.5" x14ac:dyDescent="0.35">
      <c r="H21" s="46" t="s">
        <v>22</v>
      </c>
      <c r="I21" s="47"/>
      <c r="J21" s="17">
        <f>J19*J20</f>
        <v>3866.1675</v>
      </c>
    </row>
    <row r="22" spans="4:10" ht="17.5" x14ac:dyDescent="0.35">
      <c r="H22" s="46" t="s">
        <v>21</v>
      </c>
      <c r="I22" s="47"/>
      <c r="J22" s="16">
        <f>J19+J21</f>
        <v>24214.4175</v>
      </c>
    </row>
  </sheetData>
  <mergeCells count="4">
    <mergeCell ref="H19:I19"/>
    <mergeCell ref="H20:I20"/>
    <mergeCell ref="H21:I21"/>
    <mergeCell ref="H22:I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3"/>
  <sheetViews>
    <sheetView topLeftCell="A2" zoomScaleNormal="100" workbookViewId="0">
      <selection activeCell="E9" sqref="E9"/>
    </sheetView>
  </sheetViews>
  <sheetFormatPr defaultRowHeight="14.5" x14ac:dyDescent="0.35"/>
  <cols>
    <col min="3" max="3" width="20" customWidth="1"/>
    <col min="4" max="4" width="21.08984375" customWidth="1"/>
    <col min="5" max="5" width="20.90625" customWidth="1"/>
  </cols>
  <sheetData>
    <row r="3" spans="3:5" ht="17" x14ac:dyDescent="0.35">
      <c r="C3" s="43" t="s">
        <v>34</v>
      </c>
      <c r="D3" s="43" t="s">
        <v>33</v>
      </c>
      <c r="E3" s="43" t="s">
        <v>32</v>
      </c>
    </row>
    <row r="4" spans="3:5" ht="15" x14ac:dyDescent="0.35">
      <c r="C4" s="40">
        <v>1</v>
      </c>
      <c r="D4" s="40">
        <v>5</v>
      </c>
      <c r="E4" s="39">
        <f t="shared" ref="E4:E13" si="0">D4/C4</f>
        <v>5</v>
      </c>
    </row>
    <row r="5" spans="3:5" ht="15" x14ac:dyDescent="0.35">
      <c r="C5" s="42">
        <v>2</v>
      </c>
      <c r="D5" s="42">
        <v>10</v>
      </c>
      <c r="E5" s="41">
        <f t="shared" si="0"/>
        <v>5</v>
      </c>
    </row>
    <row r="6" spans="3:5" ht="15" x14ac:dyDescent="0.35">
      <c r="C6" s="40">
        <v>3</v>
      </c>
      <c r="D6" s="40">
        <v>17</v>
      </c>
      <c r="E6" s="39">
        <f t="shared" si="0"/>
        <v>5.666666666666667</v>
      </c>
    </row>
    <row r="7" spans="3:5" ht="15" x14ac:dyDescent="0.35">
      <c r="C7" s="42">
        <v>4</v>
      </c>
      <c r="D7" s="42">
        <v>27</v>
      </c>
      <c r="E7" s="41">
        <f t="shared" si="0"/>
        <v>6.75</v>
      </c>
    </row>
    <row r="8" spans="3:5" ht="15" x14ac:dyDescent="0.35">
      <c r="C8" s="40">
        <v>5</v>
      </c>
      <c r="D8" s="40">
        <v>37</v>
      </c>
      <c r="E8" s="39">
        <f t="shared" si="0"/>
        <v>7.4</v>
      </c>
    </row>
    <row r="9" spans="3:5" ht="15" x14ac:dyDescent="0.35">
      <c r="C9" s="42">
        <v>6</v>
      </c>
      <c r="D9" s="42">
        <v>49</v>
      </c>
      <c r="E9" s="41">
        <f t="shared" si="0"/>
        <v>8.1666666666666661</v>
      </c>
    </row>
    <row r="10" spans="3:5" ht="15" x14ac:dyDescent="0.35">
      <c r="C10" s="40">
        <v>7</v>
      </c>
      <c r="D10" s="40">
        <v>63</v>
      </c>
      <c r="E10" s="39">
        <f t="shared" si="0"/>
        <v>9</v>
      </c>
    </row>
    <row r="11" spans="3:5" ht="15" x14ac:dyDescent="0.35">
      <c r="C11" s="42">
        <v>8</v>
      </c>
      <c r="D11" s="42">
        <v>75</v>
      </c>
      <c r="E11" s="41">
        <f t="shared" si="0"/>
        <v>9.375</v>
      </c>
    </row>
    <row r="12" spans="3:5" ht="15" x14ac:dyDescent="0.35">
      <c r="C12" s="40">
        <v>9</v>
      </c>
      <c r="D12" s="40">
        <v>83</v>
      </c>
      <c r="E12" s="39">
        <f t="shared" si="0"/>
        <v>9.2222222222222214</v>
      </c>
    </row>
    <row r="13" spans="3:5" ht="15" x14ac:dyDescent="0.35">
      <c r="C13" s="38">
        <v>10</v>
      </c>
      <c r="D13" s="38">
        <v>91</v>
      </c>
      <c r="E13" s="37">
        <f t="shared" si="0"/>
        <v>9.1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2" sqref="A2"/>
    </sheetView>
  </sheetViews>
  <sheetFormatPr defaultRowHeight="14.5" x14ac:dyDescent="0.35"/>
  <cols>
    <col min="1" max="1" width="20.36328125" customWidth="1"/>
  </cols>
  <sheetData>
    <row r="1" spans="1:1" ht="19" customHeight="1" x14ac:dyDescent="0.35">
      <c r="A1" s="50" t="s">
        <v>37</v>
      </c>
    </row>
    <row r="2" spans="1:1" ht="20.5" customHeight="1" x14ac:dyDescent="0.35">
      <c r="A2" s="49" t="s">
        <v>41</v>
      </c>
    </row>
    <row r="3" spans="1:1" ht="18" customHeight="1" x14ac:dyDescent="0.35">
      <c r="A3" s="48" t="s">
        <v>38</v>
      </c>
    </row>
    <row r="4" spans="1:1" ht="21" customHeight="1" x14ac:dyDescent="0.35">
      <c r="A4" s="48" t="s">
        <v>39</v>
      </c>
    </row>
    <row r="5" spans="1:1" ht="19.5" customHeight="1" x14ac:dyDescent="0.35">
      <c r="A5" s="48" t="s">
        <v>40</v>
      </c>
    </row>
    <row r="6" spans="1:1" ht="19.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</vt:lpstr>
      <vt:lpstr>Table 1</vt:lpstr>
      <vt:lpstr>Table 2</vt:lpstr>
      <vt:lpstr>Table 3</vt:lpstr>
      <vt:lpstr>EXO 3</vt:lpstr>
      <vt:lpstr>EXO 4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 bensaid</dc:creator>
  <cp:lastModifiedBy>riadh bensaid</cp:lastModifiedBy>
  <dcterms:created xsi:type="dcterms:W3CDTF">2025-12-09T08:09:11Z</dcterms:created>
  <dcterms:modified xsi:type="dcterms:W3CDTF">2025-12-28T09:19:22Z</dcterms:modified>
</cp:coreProperties>
</file>